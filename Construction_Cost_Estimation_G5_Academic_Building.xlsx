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Quantity_Takeoff" sheetId="3" state="visible" r:id="rId3"/>
    <sheet xmlns:r="http://schemas.openxmlformats.org/officeDocument/2006/relationships" name="Rate_Analysis" sheetId="4" state="visible" r:id="rId4"/>
    <sheet xmlns:r="http://schemas.openxmlformats.org/officeDocument/2006/relationships" name="BOQ" sheetId="5" state="visible" r:id="rId5"/>
    <sheet xmlns:r="http://schemas.openxmlformats.org/officeDocument/2006/relationships" name="Cost_By_Group" sheetId="6" state="visible" r:id="rId6"/>
    <sheet xmlns:r="http://schemas.openxmlformats.org/officeDocument/2006/relationships" name="Resource_Split" sheetId="7" state="visible" r:id="rId7"/>
    <sheet xmlns:r="http://schemas.openxmlformats.org/officeDocument/2006/relationships" name="Alternatives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Schedule_Cashflow" sheetId="10" state="visible" r:id="rId10"/>
    <sheet xmlns:r="http://schemas.openxmlformats.org/officeDocument/2006/relationships" name="Cost_Summary" sheetId="11" state="visible" r:id="rId11"/>
    <sheet xmlns:r="http://schemas.openxmlformats.org/officeDocument/2006/relationships" name="Standards_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Direct Cost by Major Component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'Cost_By_Group'!B1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'Cost_By_Group'!$A$2:$A$13</f>
            </numRef>
          </cat>
          <val>
            <numRef>
              <f>'Cost_By_Group'!$B$2:$B$13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Component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Sensitivity – Total Project Cost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'Sensitivity'!B32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'Sensitivity'!$A$33:$A$36</f>
            </numRef>
          </cat>
          <val>
            <numRef>
              <f>'Sensitivity'!$B$33:$B$36</f>
            </numRef>
          </val>
        </ser>
        <ser>
          <idx val="1"/>
          <order val="1"/>
          <tx>
            <strRef>
              <f>'Sensitivity'!C32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'Sensitivity'!$A$33:$A$36</f>
            </numRef>
          </cat>
          <val>
            <numRef>
              <f>'Sensitivity'!$C$33:$C$36</f>
            </numRef>
          </val>
        </ser>
        <ser>
          <idx val="2"/>
          <order val="2"/>
          <tx>
            <strRef>
              <f>'Sensitivity'!D32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'Sensitivity'!$A$33:$A$36</f>
            </numRef>
          </cat>
          <val>
            <numRef>
              <f>'Sensitivity'!$D$33:$D$36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cost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Variable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Expenditure Curve</a:t>
            </a:r>
          </a:p>
        </rich>
      </tx>
    </title>
    <plotArea>
      <lineChart>
        <grouping val="standard"/>
        <ser>
          <idx val="0"/>
          <order val="0"/>
          <tx>
            <strRef>
              <f>'Schedule_Cashflow'!D1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'Schedule_Cashflow'!$A$2:$A$19</f>
            </numRef>
          </cat>
          <val>
            <numRef>
              <f>'Schedule_Cashflow'!$D$2:$D$19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pre-GST cost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M.Tech Construction Cost Estimation – G+5 Academic Building</t>
        </is>
      </c>
    </row>
    <row r="2"/>
    <row r="3">
      <c r="A3" s="2" t="inlineStr">
        <is>
          <t>Purpose</t>
        </is>
      </c>
      <c r="B3" s="2" t="inlineStr">
        <is>
          <t>Academic baseline model for quantity take-off, rate analysis, BOQ, cost optimization, sensitivity and schedule-cost integration.</t>
        </is>
      </c>
    </row>
    <row r="4"/>
    <row r="5">
      <c r="A5" s="2" t="inlineStr">
        <is>
          <t>Important</t>
        </is>
      </c>
      <c r="B5" s="2" t="inlineStr">
        <is>
          <t>Study rates and several quantities are explicit assumptions for thesis modelling. Replace them with approved drawings, BBS, soil report, current Kanpur/UP quotations/SOR and detailed MEP schedules before treating the estimate as tender/contract value.</t>
        </is>
      </c>
    </row>
    <row r="6"/>
    <row r="7">
      <c r="A7" s="2" t="inlineStr">
        <is>
          <t>Price/tax basis</t>
        </is>
      </c>
      <c r="B7" s="2" t="inlineStr">
        <is>
          <t>Rates are model inputs exclusive of GST. GST is added separately in the model for an illustrative taxable construction-service case. Confirm contract-specific GST/ITC treatment before submission.</t>
        </is>
      </c>
    </row>
    <row r="8"/>
    <row r="9">
      <c r="A9" s="2" t="inlineStr">
        <is>
          <t>Core area</t>
        </is>
      </c>
      <c r="B9" s="2" t="n">
        <v>3600</v>
      </c>
      <c r="C9" s="2" t="inlineStr">
        <is>
          <t>m²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  <col width="60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Basis</t>
        </is>
      </c>
    </row>
    <row r="2">
      <c r="A2" s="2" t="inlineStr">
        <is>
          <t>Project type</t>
        </is>
      </c>
      <c r="B2" s="2" t="inlineStr">
        <is>
          <t>Institutional / academic building</t>
        </is>
      </c>
      <c r="C2" s="2" t="inlineStr">
        <is>
          <t>Study assumption</t>
        </is>
      </c>
    </row>
    <row r="3">
      <c r="A3" s="2" t="inlineStr">
        <is>
          <t>Location</t>
        </is>
      </c>
      <c r="B3" s="2" t="inlineStr">
        <is>
          <t>Kanpur, Uttar Pradesh, India</t>
        </is>
      </c>
      <c r="C3" s="2" t="inlineStr">
        <is>
          <t>Study assumption</t>
        </is>
      </c>
    </row>
    <row r="4">
      <c r="A4" s="2" t="inlineStr">
        <is>
          <t>Configuration</t>
        </is>
      </c>
      <c r="B4" s="2" t="inlineStr">
        <is>
          <t>G+5 (6 floors)</t>
        </is>
      </c>
      <c r="C4" s="2" t="inlineStr">
        <is>
          <t>Study assumption</t>
        </is>
      </c>
    </row>
    <row r="5">
      <c r="A5" s="2" t="inlineStr">
        <is>
          <t>Footprint</t>
        </is>
      </c>
      <c r="B5" s="2" t="inlineStr">
        <is>
          <t>30 m × 20 m = 600 m²/floor</t>
        </is>
      </c>
      <c r="C5" s="2" t="inlineStr">
        <is>
          <t>Study assumption</t>
        </is>
      </c>
    </row>
    <row r="6">
      <c r="A6" s="2" t="inlineStr">
        <is>
          <t>Total built-up area</t>
        </is>
      </c>
      <c r="B6" s="2" t="inlineStr">
        <is>
          <t>3,600 m²</t>
        </is>
      </c>
      <c r="C6" s="2" t="inlineStr">
        <is>
          <t>Derived: 600×6</t>
        </is>
      </c>
    </row>
    <row r="7">
      <c r="A7" s="2" t="inlineStr">
        <is>
          <t>Floor-to-floor height</t>
        </is>
      </c>
      <c r="B7" s="2" t="inlineStr">
        <is>
          <t>4.0 m</t>
        </is>
      </c>
      <c r="C7" s="2" t="inlineStr">
        <is>
          <t>Study assumption</t>
        </is>
      </c>
    </row>
    <row r="8">
      <c r="A8" s="2" t="inlineStr">
        <is>
          <t>Structural system</t>
        </is>
      </c>
      <c r="B8" s="2" t="inlineStr">
        <is>
          <t>RCC moment-resisting frame with isolated footings</t>
        </is>
      </c>
      <c r="C8" s="2" t="inlineStr">
        <is>
          <t>Study assumption; preliminary costing only</t>
        </is>
      </c>
    </row>
    <row r="9">
      <c r="A9" s="2" t="inlineStr">
        <is>
          <t>Foundation</t>
        </is>
      </c>
      <c r="B9" s="2" t="inlineStr">
        <is>
          <t>Isolated RCC footings, 30 column locations</t>
        </is>
      </c>
      <c r="C9" s="2" t="inlineStr">
        <is>
          <t>Study assumption; requires soil report/design verification</t>
        </is>
      </c>
    </row>
    <row r="10">
      <c r="A10" s="2" t="inlineStr">
        <is>
          <t>Concrete</t>
        </is>
      </c>
      <c r="B10" s="2" t="inlineStr">
        <is>
          <t>M25 structural RCC; M10 PCC</t>
        </is>
      </c>
      <c r="C10" s="2" t="inlineStr">
        <is>
          <t>Study assumption</t>
        </is>
      </c>
    </row>
    <row r="11">
      <c r="A11" s="2" t="inlineStr">
        <is>
          <t>Reinforcement</t>
        </is>
      </c>
      <c r="B11" s="2" t="inlineStr">
        <is>
          <t>Fe500D TMT</t>
        </is>
      </c>
      <c r="C11" s="2" t="inlineStr">
        <is>
          <t>Study assumption</t>
        </is>
      </c>
    </row>
    <row r="12">
      <c r="A12" s="2" t="inlineStr">
        <is>
          <t>External walls</t>
        </is>
      </c>
      <c r="B12" s="2" t="inlineStr">
        <is>
          <t>230 mm clay brick masonry</t>
        </is>
      </c>
      <c r="C12" s="2" t="inlineStr">
        <is>
          <t>Baseline assumption</t>
        </is>
      </c>
    </row>
    <row r="13">
      <c r="A13" s="2" t="inlineStr">
        <is>
          <t>Internal partitions</t>
        </is>
      </c>
      <c r="B13" s="2" t="inlineStr">
        <is>
          <t>150 mm masonry; baseline cost model uses equivalent masonry volume</t>
        </is>
      </c>
      <c r="C13" s="2" t="inlineStr">
        <is>
          <t>Study assumption</t>
        </is>
      </c>
    </row>
    <row r="14">
      <c r="A14" s="2" t="inlineStr">
        <is>
          <t>Flooring</t>
        </is>
      </c>
      <c r="B14" s="2" t="inlineStr">
        <is>
          <t>Vitrified tile in teaching/office/circulation areas</t>
        </is>
      </c>
      <c r="C14" s="2" t="inlineStr">
        <is>
          <t>Study assumption</t>
        </is>
      </c>
    </row>
    <row r="15">
      <c r="A15" s="2" t="inlineStr">
        <is>
          <t>Plaster</t>
        </is>
      </c>
      <c r="B15" s="2" t="inlineStr">
        <is>
          <t>12 mm internal; 15 mm external</t>
        </is>
      </c>
      <c r="C15" s="2" t="inlineStr">
        <is>
          <t>Study assumption</t>
        </is>
      </c>
    </row>
    <row r="16">
      <c r="A16" s="2" t="inlineStr">
        <is>
          <t>Waterproofing</t>
        </is>
      </c>
      <c r="B16" s="2" t="inlineStr">
        <is>
          <t>Terrace + wet areas</t>
        </is>
      </c>
      <c r="C16" s="2" t="inlineStr">
        <is>
          <t>Study assumption</t>
        </is>
      </c>
    </row>
    <row r="17">
      <c r="A17" s="2" t="inlineStr">
        <is>
          <t>Doors/windows</t>
        </is>
      </c>
      <c r="B17" s="2" t="inlineStr">
        <is>
          <t>Engineered/flush doors; aluminium glazed windows</t>
        </is>
      </c>
      <c r="C17" s="2" t="inlineStr">
        <is>
          <t>Study assumption</t>
        </is>
      </c>
    </row>
    <row r="18">
      <c r="A18" s="2" t="inlineStr">
        <is>
          <t>MEP</t>
        </is>
      </c>
      <c r="B18" s="2" t="inlineStr">
        <is>
          <t>Plumbing/sanitary and electrical as provisional-sum packages</t>
        </is>
      </c>
      <c r="C18" s="2" t="inlineStr">
        <is>
          <t>Study assumption; detailed design needed</t>
        </is>
      </c>
    </row>
    <row r="19">
      <c r="A19" s="2" t="inlineStr">
        <is>
          <t>Construction duration</t>
        </is>
      </c>
      <c r="B19" s="2" t="inlineStr">
        <is>
          <t>18 months</t>
        </is>
      </c>
      <c r="C19" s="2" t="inlineStr">
        <is>
          <t>Study assumption for cash-flow model</t>
        </is>
      </c>
    </row>
    <row r="20">
      <c r="A20" s="2" t="inlineStr">
        <is>
          <t>Price basis</t>
        </is>
      </c>
      <c r="B20" s="2" t="inlineStr">
        <is>
          <t>Academic baseline using explicit study rates; validate with current Kanpur quotations/UP SOR before submission</t>
        </is>
      </c>
      <c r="C20" s="2" t="inlineStr">
        <is>
          <t>Methodological rule</t>
        </is>
      </c>
    </row>
    <row r="21">
      <c r="A21" s="2" t="inlineStr">
        <is>
          <t>GST treatment</t>
        </is>
      </c>
      <c r="B21" s="2" t="inlineStr">
        <is>
          <t>18% added separately to taxable construction-service subtotal for the illustrative model; actual tax treatment must be confirmed for contract structure</t>
        </is>
      </c>
      <c r="C21" s="2" t="inlineStr">
        <is>
          <t>Tax assumption; CBIC source governs</t>
        </is>
      </c>
    </row>
    <row r="22">
      <c r="A22" s="2" t="inlineStr">
        <is>
          <t>Contingency</t>
        </is>
      </c>
      <c r="B22" s="2" t="inlineStr">
        <is>
          <t>3% of direct work cost</t>
        </is>
      </c>
      <c r="C22" s="2" t="inlineStr">
        <is>
          <t>Study assumption</t>
        </is>
      </c>
    </row>
    <row r="23">
      <c r="A23" s="2" t="inlineStr">
        <is>
          <t>Site/project overhead</t>
        </is>
      </c>
      <c r="B23" s="2" t="inlineStr">
        <is>
          <t>8% of direct work cost</t>
        </is>
      </c>
      <c r="C23" s="2" t="inlineStr">
        <is>
          <t>Study assumption</t>
        </is>
      </c>
    </row>
    <row r="24">
      <c r="A24" s="2" t="inlineStr">
        <is>
          <t>Contractor profit</t>
        </is>
      </c>
      <c r="B24" s="2" t="inlineStr">
        <is>
          <t>10% of direct + overhead + contingency</t>
        </is>
      </c>
      <c r="C24" s="2" t="inlineStr">
        <is>
          <t>Study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20" customWidth="1" min="4" max="4"/>
    <col width="62" customWidth="1" min="5" max="5"/>
  </cols>
  <sheetData>
    <row r="1">
      <c r="A1" s="3" t="inlineStr">
        <is>
          <t>Group</t>
        </is>
      </c>
      <c r="B1" s="3" t="inlineStr">
        <is>
          <t>Item</t>
        </is>
      </c>
      <c r="C1" s="3" t="inlineStr">
        <is>
          <t>Unit</t>
        </is>
      </c>
      <c r="D1" s="3" t="inlineStr">
        <is>
          <t>Quantity</t>
        </is>
      </c>
      <c r="E1" s="3" t="inlineStr">
        <is>
          <t>Calculation/Basis</t>
        </is>
      </c>
    </row>
    <row r="2">
      <c r="A2" s="2" t="inlineStr">
        <is>
          <t>Earthwork</t>
        </is>
      </c>
      <c r="B2" s="2" t="inlineStr">
        <is>
          <t>Excavation in foundation pits/trenches</t>
        </is>
      </c>
      <c r="C2" s="2" t="inlineStr">
        <is>
          <t>m³</t>
        </is>
      </c>
      <c r="D2" s="2" t="n">
        <v>319.2</v>
      </c>
      <c r="E2" s="2" t="inlineStr">
        <is>
          <t>30 pits + allowance for grade/services; 60 m³ is explicit provisional allowance</t>
        </is>
      </c>
    </row>
    <row r="3">
      <c r="A3" s="2" t="inlineStr">
        <is>
          <t>Foundation</t>
        </is>
      </c>
      <c r="B3" s="2" t="inlineStr">
        <is>
          <t>PCC M10 below footings</t>
        </is>
      </c>
      <c r="C3" s="2" t="inlineStr">
        <is>
          <t>m³</t>
        </is>
      </c>
      <c r="D3" s="2" t="n">
        <v>12</v>
      </c>
      <c r="E3" s="2" t="inlineStr">
        <is>
          <t>30 footings × 2.0×2.0×0.10</t>
        </is>
      </c>
    </row>
    <row r="4">
      <c r="A4" s="2" t="inlineStr">
        <is>
          <t>RCC</t>
        </is>
      </c>
      <c r="B4" s="2" t="inlineStr">
        <is>
          <t>Footings</t>
        </is>
      </c>
      <c r="C4" s="2" t="inlineStr">
        <is>
          <t>m³</t>
        </is>
      </c>
      <c r="D4" s="2" t="n">
        <v>43.74</v>
      </c>
      <c r="E4" s="2" t="inlineStr">
        <is>
          <t>30 × 1.8×1.8×0.45</t>
        </is>
      </c>
    </row>
    <row r="5">
      <c r="A5" s="2" t="inlineStr">
        <is>
          <t>RCC</t>
        </is>
      </c>
      <c r="B5" s="2" t="inlineStr">
        <is>
          <t>Pedestals</t>
        </is>
      </c>
      <c r="C5" s="2" t="inlineStr">
        <is>
          <t>m³</t>
        </is>
      </c>
      <c r="D5" s="2" t="n">
        <v>4.859999999999999</v>
      </c>
      <c r="E5" s="2" t="inlineStr">
        <is>
          <t>30 × 0.6×0.6×0.45</t>
        </is>
      </c>
    </row>
    <row r="6">
      <c r="A6" s="2" t="inlineStr">
        <is>
          <t>RCC</t>
        </is>
      </c>
      <c r="B6" s="2" t="inlineStr">
        <is>
          <t>Columns</t>
        </is>
      </c>
      <c r="C6" s="2" t="inlineStr">
        <is>
          <t>m³</t>
        </is>
      </c>
      <c r="D6" s="2" t="n">
        <v>97.19999999999999</v>
      </c>
      <c r="E6" s="2" t="inlineStr">
        <is>
          <t>30 columns × 0.30×0.45×24 m</t>
        </is>
      </c>
    </row>
    <row r="7">
      <c r="A7" s="2" t="inlineStr">
        <is>
          <t>RCC</t>
        </is>
      </c>
      <c r="B7" s="2" t="inlineStr">
        <is>
          <t>Beams including plinth beam</t>
        </is>
      </c>
      <c r="C7" s="2" t="inlineStr">
        <is>
          <t>m³</t>
        </is>
      </c>
      <c r="D7" s="2" t="n">
        <v>255.15</v>
      </c>
      <c r="E7" s="2" t="inlineStr">
        <is>
          <t>270 m beam length/level × 6 suspended levels + plinth beam</t>
        </is>
      </c>
    </row>
    <row r="8">
      <c r="A8" s="2" t="inlineStr">
        <is>
          <t>RCC</t>
        </is>
      </c>
      <c r="B8" s="2" t="inlineStr">
        <is>
          <t>Slabs</t>
        </is>
      </c>
      <c r="C8" s="2" t="inlineStr">
        <is>
          <t>m³</t>
        </is>
      </c>
      <c r="D8" s="2" t="n">
        <v>540</v>
      </c>
      <c r="E8" s="2" t="inlineStr">
        <is>
          <t>600 m² × 150 mm × 6 suspended levels</t>
        </is>
      </c>
    </row>
    <row r="9">
      <c r="A9" s="2" t="inlineStr">
        <is>
          <t>RCC</t>
        </is>
      </c>
      <c r="B9" s="2" t="inlineStr">
        <is>
          <t>Staircases</t>
        </is>
      </c>
      <c r="C9" s="2" t="inlineStr">
        <is>
          <t>m³</t>
        </is>
      </c>
      <c r="D9" s="2" t="n">
        <v>16.875</v>
      </c>
      <c r="E9" s="2" t="inlineStr">
        <is>
          <t>Preliminary geometric take-off for 2 stair cores; detailed stair drawing to replace</t>
        </is>
      </c>
    </row>
    <row r="10">
      <c r="A10" s="2" t="inlineStr">
        <is>
          <t>RCC</t>
        </is>
      </c>
      <c r="B10" s="2" t="inlineStr">
        <is>
          <t>Lintels/sunshades/misc.</t>
        </is>
      </c>
      <c r="C10" s="2" t="inlineStr">
        <is>
          <t>m³</t>
        </is>
      </c>
      <c r="D10" s="2" t="n">
        <v>20</v>
      </c>
      <c r="E10" s="2" t="inlineStr">
        <is>
          <t>Provisional geometric allowance pending architectural schedule</t>
        </is>
      </c>
    </row>
    <row r="11">
      <c r="A11" s="2" t="inlineStr">
        <is>
          <t>Reinforcement</t>
        </is>
      </c>
      <c r="B11" s="2" t="inlineStr">
        <is>
          <t>TMT reinforcement</t>
        </is>
      </c>
      <c r="C11" s="2" t="inlineStr">
        <is>
          <t>t</t>
        </is>
      </c>
      <c r="D11" s="2" t="n">
        <v>107.56075</v>
      </c>
      <c r="E11" s="2" t="inlineStr">
        <is>
          <t>110 kg/m³ of RCC as preliminary costing allowance; replace with bar bending schedule</t>
        </is>
      </c>
    </row>
    <row r="12">
      <c r="A12" s="2" t="inlineStr">
        <is>
          <t>Masonry</t>
        </is>
      </c>
      <c r="B12" s="2" t="inlineStr">
        <is>
          <t>230 mm/partition masonry equivalent volume</t>
        </is>
      </c>
      <c r="C12" s="2" t="inlineStr">
        <is>
          <t>m³</t>
        </is>
      </c>
      <c r="D12" s="2" t="n">
        <v>891.6</v>
      </c>
      <c r="E12" s="2" t="inlineStr">
        <is>
          <t>External wall area 100×24×0.80×0.23 + internal partition equivalent volume</t>
        </is>
      </c>
    </row>
    <row r="13">
      <c r="A13" s="2" t="inlineStr">
        <is>
          <t>Plastering</t>
        </is>
      </c>
      <c r="B13" s="2" t="inlineStr">
        <is>
          <t>Internal wall + ceiling plaster</t>
        </is>
      </c>
      <c r="C13" s="2" t="inlineStr">
        <is>
          <t>m²</t>
        </is>
      </c>
      <c r="D13" s="2" t="n">
        <v>13440</v>
      </c>
      <c r="E13" s="2" t="inlineStr">
        <is>
          <t>Wall surfaces 9,840 + ceiling 3,600</t>
        </is>
      </c>
    </row>
    <row r="14">
      <c r="A14" s="2" t="inlineStr">
        <is>
          <t>Plastering</t>
        </is>
      </c>
      <c r="B14" s="2" t="inlineStr">
        <is>
          <t>External plaster</t>
        </is>
      </c>
      <c r="C14" s="2" t="inlineStr">
        <is>
          <t>m²</t>
        </is>
      </c>
      <c r="D14" s="2" t="n">
        <v>1920</v>
      </c>
      <c r="E14" s="2" t="inlineStr">
        <is>
          <t>External wall area after 20% opening deduction</t>
        </is>
      </c>
    </row>
    <row r="15">
      <c r="A15" s="2" t="inlineStr">
        <is>
          <t>Flooring</t>
        </is>
      </c>
      <c r="B15" s="2" t="inlineStr">
        <is>
          <t>Floor finish</t>
        </is>
      </c>
      <c r="C15" s="2" t="inlineStr">
        <is>
          <t>m²</t>
        </is>
      </c>
      <c r="D15" s="2" t="n">
        <v>3600</v>
      </c>
      <c r="E15" s="2" t="inlineStr">
        <is>
          <t>Built-up area</t>
        </is>
      </c>
    </row>
    <row r="16">
      <c r="A16" s="2" t="inlineStr">
        <is>
          <t>Flooring</t>
        </is>
      </c>
      <c r="B16" s="2" t="inlineStr">
        <is>
          <t>Skirting</t>
        </is>
      </c>
      <c r="C16" s="2" t="inlineStr">
        <is>
          <t>m</t>
        </is>
      </c>
      <c r="D16" s="2" t="n">
        <v>1200</v>
      </c>
      <c r="E16" s="2" t="inlineStr">
        <is>
          <t>Preliminary perimeter/internal skirting length</t>
        </is>
      </c>
    </row>
    <row r="17">
      <c r="A17" s="2" t="inlineStr">
        <is>
          <t>Doors/windows</t>
        </is>
      </c>
      <c r="B17" s="2" t="inlineStr">
        <is>
          <t>Doors</t>
        </is>
      </c>
      <c r="C17" s="2" t="inlineStr">
        <is>
          <t>m²</t>
        </is>
      </c>
      <c r="D17" s="2" t="n">
        <v>189</v>
      </c>
      <c r="E17" s="2" t="inlineStr">
        <is>
          <t>90 doors × 2.1×1.0</t>
        </is>
      </c>
    </row>
    <row r="18">
      <c r="A18" s="2" t="inlineStr">
        <is>
          <t>Doors/windows</t>
        </is>
      </c>
      <c r="B18" s="2" t="inlineStr">
        <is>
          <t>Windows</t>
        </is>
      </c>
      <c r="C18" s="2" t="inlineStr">
        <is>
          <t>m²</t>
        </is>
      </c>
      <c r="D18" s="2" t="n">
        <v>225</v>
      </c>
      <c r="E18" s="2" t="inlineStr">
        <is>
          <t>100 windows × 1.5×1.5</t>
        </is>
      </c>
    </row>
    <row r="19">
      <c r="A19" s="2" t="inlineStr">
        <is>
          <t>Waterproofing</t>
        </is>
      </c>
      <c r="B19" s="2" t="inlineStr">
        <is>
          <t>Terrace + wet areas</t>
        </is>
      </c>
      <c r="C19" s="2" t="inlineStr">
        <is>
          <t>m²</t>
        </is>
      </c>
      <c r="D19" s="2" t="n">
        <v>1200</v>
      </c>
      <c r="E19" s="2" t="inlineStr">
        <is>
          <t>600 terrace + 600 wet-area allowance</t>
        </is>
      </c>
    </row>
    <row r="20">
      <c r="A20" s="2" t="inlineStr">
        <is>
          <t>Painting</t>
        </is>
      </c>
      <c r="B20" s="2" t="inlineStr">
        <is>
          <t>Internal painting</t>
        </is>
      </c>
      <c r="C20" s="2" t="inlineStr">
        <is>
          <t>m²</t>
        </is>
      </c>
      <c r="D20" s="2" t="n">
        <v>13440</v>
      </c>
      <c r="E20" s="2" t="inlineStr">
        <is>
          <t>Same treated surface as internal plaster</t>
        </is>
      </c>
    </row>
    <row r="21">
      <c r="A21" s="2" t="inlineStr">
        <is>
          <t>Painting</t>
        </is>
      </c>
      <c r="B21" s="2" t="inlineStr">
        <is>
          <t>External painting</t>
        </is>
      </c>
      <c r="C21" s="2" t="inlineStr">
        <is>
          <t>m²</t>
        </is>
      </c>
      <c r="D21" s="2" t="n">
        <v>1920</v>
      </c>
      <c r="E21" s="2" t="inlineStr">
        <is>
          <t>Same treated surface as external plaster</t>
        </is>
      </c>
    </row>
    <row r="22">
      <c r="A22" s="2" t="inlineStr">
        <is>
          <t>External works</t>
        </is>
      </c>
      <c r="B22" s="2" t="inlineStr">
        <is>
          <t>Paved area</t>
        </is>
      </c>
      <c r="C22" s="2" t="inlineStr">
        <is>
          <t>m²</t>
        </is>
      </c>
      <c r="D22" s="2" t="n">
        <v>1000</v>
      </c>
      <c r="E22" s="2" t="inlineStr">
        <is>
          <t>Site circulation/plaza assumption</t>
        </is>
      </c>
    </row>
    <row r="23">
      <c r="A23" s="2" t="inlineStr">
        <is>
          <t>External works</t>
        </is>
      </c>
      <c r="B23" s="2" t="inlineStr">
        <is>
          <t>Storm-water drain</t>
        </is>
      </c>
      <c r="C23" s="2" t="inlineStr">
        <is>
          <t>m</t>
        </is>
      </c>
      <c r="D23" s="2" t="n">
        <v>250</v>
      </c>
      <c r="E23" s="2" t="inlineStr">
        <is>
          <t>Site drainage assumption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7" customWidth="1" min="8" max="8"/>
    <col width="12" customWidth="1" min="9" max="9"/>
    <col width="12" customWidth="1" min="10" max="10"/>
    <col width="17" customWidth="1" min="11" max="11"/>
  </cols>
  <sheetData>
    <row r="1">
      <c r="A1" s="3" t="inlineStr">
        <is>
          <t>Item</t>
        </is>
      </c>
      <c r="B1" s="3" t="inlineStr">
        <is>
          <t>Unit</t>
        </is>
      </c>
      <c r="C1" s="3" t="inlineStr">
        <is>
          <t>Material</t>
        </is>
      </c>
      <c r="D1" s="3" t="inlineStr">
        <is>
          <t>Labour</t>
        </is>
      </c>
      <c r="E1" s="3" t="inlineStr">
        <is>
          <t>Equipment</t>
        </is>
      </c>
      <c r="F1" s="3" t="inlineStr">
        <is>
          <t>Transport/handling</t>
        </is>
      </c>
      <c r="G1" s="3" t="inlineStr">
        <is>
          <t>Wastage</t>
        </is>
      </c>
      <c r="H1" s="3" t="inlineStr">
        <is>
          <t>Direct build-up</t>
        </is>
      </c>
      <c r="I1" s="3" t="inlineStr">
        <is>
          <t>Overheads</t>
        </is>
      </c>
      <c r="J1" s="3" t="inlineStr">
        <is>
          <t>Profit</t>
        </is>
      </c>
      <c r="K1" s="3" t="inlineStr">
        <is>
          <t>Final unit rate</t>
        </is>
      </c>
    </row>
    <row r="2">
      <c r="A2" s="2" t="inlineStr">
        <is>
          <t>Excavation</t>
        </is>
      </c>
      <c r="B2" s="2" t="inlineStr">
        <is>
          <t>m³</t>
        </is>
      </c>
      <c r="C2" s="2" t="n">
        <v>0</v>
      </c>
      <c r="D2" s="2" t="n">
        <v>160</v>
      </c>
      <c r="E2" s="2" t="n">
        <v>60</v>
      </c>
      <c r="F2" s="2" t="n">
        <v>15</v>
      </c>
      <c r="G2" s="2" t="n">
        <v>0</v>
      </c>
      <c r="H2" s="2" t="n">
        <v>235</v>
      </c>
      <c r="I2" s="2" t="n">
        <v>11.75</v>
      </c>
      <c r="J2" s="2" t="n">
        <v>7.4</v>
      </c>
      <c r="K2" s="2" t="n">
        <v>254.15</v>
      </c>
    </row>
    <row r="3">
      <c r="A3" s="2" t="inlineStr">
        <is>
          <t>PCC M10</t>
        </is>
      </c>
      <c r="B3" s="2" t="inlineStr">
        <is>
          <t>m³</t>
        </is>
      </c>
      <c r="C3" s="2" t="n">
        <v>4700</v>
      </c>
      <c r="D3" s="2" t="n">
        <v>850</v>
      </c>
      <c r="E3" s="2" t="n">
        <v>250</v>
      </c>
      <c r="F3" s="2" t="n">
        <v>250</v>
      </c>
      <c r="G3" s="2" t="n">
        <v>150</v>
      </c>
      <c r="H3" s="2" t="n">
        <v>6200</v>
      </c>
      <c r="I3" s="2" t="n">
        <v>310</v>
      </c>
      <c r="J3" s="2" t="n">
        <v>195.3</v>
      </c>
      <c r="K3" s="2" t="n">
        <v>6705.3</v>
      </c>
    </row>
    <row r="4">
      <c r="A4" s="2" t="inlineStr">
        <is>
          <t>RCC M25</t>
        </is>
      </c>
      <c r="B4" s="2" t="inlineStr">
        <is>
          <t>m³</t>
        </is>
      </c>
      <c r="C4" s="2" t="n">
        <v>6000</v>
      </c>
      <c r="D4" s="2" t="n">
        <v>900</v>
      </c>
      <c r="E4" s="2" t="n">
        <v>450</v>
      </c>
      <c r="F4" s="2" t="n">
        <v>350</v>
      </c>
      <c r="G4" s="2" t="n">
        <v>180</v>
      </c>
      <c r="H4" s="2" t="n">
        <v>7880</v>
      </c>
      <c r="I4" s="2" t="n">
        <v>394</v>
      </c>
      <c r="J4" s="2" t="n">
        <v>248.22</v>
      </c>
      <c r="K4" s="2" t="n">
        <v>8522.219999999999</v>
      </c>
    </row>
    <row r="5">
      <c r="A5" s="2" t="inlineStr">
        <is>
          <t>Reinforcement Fe500D</t>
        </is>
      </c>
      <c r="B5" s="2" t="inlineStr">
        <is>
          <t>t</t>
        </is>
      </c>
      <c r="C5" s="2" t="n">
        <v>72000</v>
      </c>
      <c r="D5" s="2" t="n">
        <v>2000</v>
      </c>
      <c r="E5" s="2" t="n">
        <v>500</v>
      </c>
      <c r="F5" s="2" t="n">
        <v>500</v>
      </c>
      <c r="G5" s="2" t="n">
        <v>720</v>
      </c>
      <c r="H5" s="2" t="n">
        <v>75720</v>
      </c>
      <c r="I5" s="2" t="n">
        <v>3786</v>
      </c>
      <c r="J5" s="2" t="n">
        <v>2385.18</v>
      </c>
      <c r="K5" s="2" t="n">
        <v>81891.17999999999</v>
      </c>
    </row>
    <row r="6">
      <c r="A6" s="2" t="inlineStr">
        <is>
          <t>Masonry</t>
        </is>
      </c>
      <c r="B6" s="2" t="inlineStr">
        <is>
          <t>m³</t>
        </is>
      </c>
      <c r="C6" s="2" t="n">
        <v>6400</v>
      </c>
      <c r="D6" s="2" t="n">
        <v>1200</v>
      </c>
      <c r="E6" s="2" t="n">
        <v>100</v>
      </c>
      <c r="F6" s="2" t="n">
        <v>300</v>
      </c>
      <c r="G6" s="2" t="n">
        <v>150</v>
      </c>
      <c r="H6" s="2" t="n">
        <v>8150</v>
      </c>
      <c r="I6" s="2" t="n">
        <v>407.5</v>
      </c>
      <c r="J6" s="2" t="n">
        <v>256.73</v>
      </c>
      <c r="K6" s="2" t="n">
        <v>8814.23</v>
      </c>
    </row>
    <row r="7">
      <c r="A7" s="2" t="inlineStr">
        <is>
          <t>Internal plaster</t>
        </is>
      </c>
      <c r="B7" s="2" t="inlineStr">
        <is>
          <t>m²</t>
        </is>
      </c>
      <c r="C7" s="2" t="n">
        <v>85</v>
      </c>
      <c r="D7" s="2" t="n">
        <v>150</v>
      </c>
      <c r="E7" s="2" t="n">
        <v>15</v>
      </c>
      <c r="F7" s="2" t="n">
        <v>10</v>
      </c>
      <c r="G7" s="2" t="n">
        <v>5</v>
      </c>
      <c r="H7" s="2" t="n">
        <v>265</v>
      </c>
      <c r="I7" s="2" t="n">
        <v>13.25</v>
      </c>
      <c r="J7" s="2" t="n">
        <v>8.35</v>
      </c>
      <c r="K7" s="2" t="n">
        <v>286.6</v>
      </c>
    </row>
    <row r="8">
      <c r="A8" s="2" t="inlineStr">
        <is>
          <t>Vitrified flooring</t>
        </is>
      </c>
      <c r="B8" s="2" t="inlineStr">
        <is>
          <t>m²</t>
        </is>
      </c>
      <c r="C8" s="2" t="n">
        <v>850</v>
      </c>
      <c r="D8" s="2" t="n">
        <v>170</v>
      </c>
      <c r="E8" s="2" t="n">
        <v>30</v>
      </c>
      <c r="F8" s="2" t="n">
        <v>30</v>
      </c>
      <c r="G8" s="2" t="n">
        <v>40</v>
      </c>
      <c r="H8" s="2" t="n">
        <v>1120</v>
      </c>
      <c r="I8" s="2" t="n">
        <v>56</v>
      </c>
      <c r="J8" s="2" t="n">
        <v>35.28</v>
      </c>
      <c r="K8" s="2" t="n">
        <v>1211.28</v>
      </c>
    </row>
    <row r="9">
      <c r="A9" s="2" t="inlineStr">
        <is>
          <t>Painting</t>
        </is>
      </c>
      <c r="B9" s="2" t="inlineStr">
        <is>
          <t>m²</t>
        </is>
      </c>
      <c r="C9" s="2" t="n">
        <v>115</v>
      </c>
      <c r="D9" s="2" t="n">
        <v>70</v>
      </c>
      <c r="E9" s="2" t="n">
        <v>8</v>
      </c>
      <c r="F9" s="2" t="n">
        <v>7</v>
      </c>
      <c r="G9" s="2" t="n">
        <v>5</v>
      </c>
      <c r="H9" s="2" t="n">
        <v>205</v>
      </c>
      <c r="I9" s="2" t="n">
        <v>10.25</v>
      </c>
      <c r="J9" s="2" t="n">
        <v>6.46</v>
      </c>
      <c r="K9" s="2" t="n">
        <v>221.71</v>
      </c>
    </row>
    <row r="10">
      <c r="A10" s="2" t="inlineStr">
        <is>
          <t>Waterproofing</t>
        </is>
      </c>
      <c r="B10" s="2" t="inlineStr">
        <is>
          <t>m²</t>
        </is>
      </c>
      <c r="C10" s="2" t="n">
        <v>500</v>
      </c>
      <c r="D10" s="2" t="n">
        <v>120</v>
      </c>
      <c r="E10" s="2" t="n">
        <v>20</v>
      </c>
      <c r="F10" s="2" t="n">
        <v>20</v>
      </c>
      <c r="G10" s="2" t="n">
        <v>20</v>
      </c>
      <c r="H10" s="2" t="n">
        <v>680</v>
      </c>
      <c r="I10" s="2" t="n">
        <v>34</v>
      </c>
      <c r="J10" s="2" t="n">
        <v>21.42</v>
      </c>
      <c r="K10" s="2" t="n">
        <v>735.42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3" t="inlineStr">
        <is>
          <t>Sr</t>
        </is>
      </c>
      <c r="B1" s="3" t="inlineStr">
        <is>
          <t>Group</t>
        </is>
      </c>
      <c r="C1" s="3" t="inlineStr">
        <is>
          <t>Description</t>
        </is>
      </c>
      <c r="D1" s="3" t="inlineStr">
        <is>
          <t>Unit</t>
        </is>
      </c>
      <c r="E1" s="3" t="inlineStr">
        <is>
          <t>Quantity</t>
        </is>
      </c>
      <c r="F1" s="3" t="inlineStr">
        <is>
          <t>Rate</t>
        </is>
      </c>
      <c r="G1" s="3" t="inlineStr">
        <is>
          <t>Amount</t>
        </is>
      </c>
    </row>
    <row r="2">
      <c r="A2" s="2" t="inlineStr">
        <is>
          <t>1</t>
        </is>
      </c>
      <c r="B2" s="2" t="inlineStr">
        <is>
          <t>Earthwork</t>
        </is>
      </c>
      <c r="C2" s="2" t="inlineStr">
        <is>
          <t>Excavation in foundation pits/trenches</t>
        </is>
      </c>
      <c r="D2" s="2" t="inlineStr">
        <is>
          <t>m³</t>
        </is>
      </c>
      <c r="E2" s="2" t="n">
        <v>319.2</v>
      </c>
      <c r="F2" s="2" t="n">
        <v>254.15</v>
      </c>
      <c r="G2" s="2" t="n">
        <v>81124.67999999999</v>
      </c>
    </row>
    <row r="3">
      <c r="A3" s="2" t="inlineStr">
        <is>
          <t>2</t>
        </is>
      </c>
      <c r="B3" s="2" t="inlineStr">
        <is>
          <t>Foundation</t>
        </is>
      </c>
      <c r="C3" s="2" t="inlineStr">
        <is>
          <t>PCC M10 below footings</t>
        </is>
      </c>
      <c r="D3" s="2" t="inlineStr">
        <is>
          <t>m³</t>
        </is>
      </c>
      <c r="E3" s="2" t="n">
        <v>12</v>
      </c>
      <c r="F3" s="2" t="n">
        <v>6705.3</v>
      </c>
      <c r="G3" s="2" t="n">
        <v>80463.60000000001</v>
      </c>
    </row>
    <row r="4">
      <c r="A4" s="2" t="inlineStr">
        <is>
          <t>3</t>
        </is>
      </c>
      <c r="B4" s="2" t="inlineStr">
        <is>
          <t>RCC</t>
        </is>
      </c>
      <c r="C4" s="2" t="inlineStr">
        <is>
          <t>RCC M25 in footings, columns, beams, slabs and stairs</t>
        </is>
      </c>
      <c r="D4" s="2" t="inlineStr">
        <is>
          <t>m³</t>
        </is>
      </c>
      <c r="E4" s="2" t="n">
        <v>977.825</v>
      </c>
      <c r="F4" s="2" t="n">
        <v>8522.219999999999</v>
      </c>
      <c r="G4" s="2" t="n">
        <v>8333239.7715</v>
      </c>
    </row>
    <row r="5">
      <c r="A5" s="2" t="inlineStr">
        <is>
          <t>4</t>
        </is>
      </c>
      <c r="B5" s="2" t="inlineStr">
        <is>
          <t>RCC</t>
        </is>
      </c>
      <c r="C5" s="2" t="inlineStr">
        <is>
          <t>Formwork to RCC</t>
        </is>
      </c>
      <c r="D5" s="2" t="inlineStr">
        <is>
          <t>m²</t>
        </is>
      </c>
      <c r="E5" s="2" t="n">
        <v>15000</v>
      </c>
      <c r="F5" s="2" t="n">
        <v>900</v>
      </c>
      <c r="G5" s="2" t="n">
        <v>13500000</v>
      </c>
    </row>
    <row r="6">
      <c r="A6" s="2" t="inlineStr">
        <is>
          <t>5</t>
        </is>
      </c>
      <c r="B6" s="2" t="inlineStr">
        <is>
          <t>Reinforcement</t>
        </is>
      </c>
      <c r="C6" s="2" t="inlineStr">
        <is>
          <t>TMT reinforcement Fe500D</t>
        </is>
      </c>
      <c r="D6" s="2" t="inlineStr">
        <is>
          <t>t</t>
        </is>
      </c>
      <c r="E6" s="2" t="n">
        <v>107.56075</v>
      </c>
      <c r="F6" s="2" t="n">
        <v>81891.17999999999</v>
      </c>
      <c r="G6" s="2" t="n">
        <v>8808276.739185</v>
      </c>
    </row>
    <row r="7">
      <c r="A7" s="2" t="inlineStr">
        <is>
          <t>6</t>
        </is>
      </c>
      <c r="B7" s="2" t="inlineStr">
        <is>
          <t>Masonry</t>
        </is>
      </c>
      <c r="C7" s="2" t="inlineStr">
        <is>
          <t>Baseline clay-brick/equivalent masonry</t>
        </is>
      </c>
      <c r="D7" s="2" t="inlineStr">
        <is>
          <t>m³</t>
        </is>
      </c>
      <c r="E7" s="2" t="n">
        <v>891.6</v>
      </c>
      <c r="F7" s="2" t="n">
        <v>8814.23</v>
      </c>
      <c r="G7" s="2" t="n">
        <v>7858767.467999999</v>
      </c>
    </row>
    <row r="8">
      <c r="A8" s="2" t="inlineStr">
        <is>
          <t>7</t>
        </is>
      </c>
      <c r="B8" s="2" t="inlineStr">
        <is>
          <t>Plastering</t>
        </is>
      </c>
      <c r="C8" s="2" t="inlineStr">
        <is>
          <t>Internal plaster</t>
        </is>
      </c>
      <c r="D8" s="2" t="inlineStr">
        <is>
          <t>m²</t>
        </is>
      </c>
      <c r="E8" s="2" t="n">
        <v>13440</v>
      </c>
      <c r="F8" s="2" t="n">
        <v>286.6</v>
      </c>
      <c r="G8" s="2" t="n">
        <v>3851904</v>
      </c>
    </row>
    <row r="9">
      <c r="A9" s="2" t="inlineStr">
        <is>
          <t>8</t>
        </is>
      </c>
      <c r="B9" s="2" t="inlineStr">
        <is>
          <t>Plastering</t>
        </is>
      </c>
      <c r="C9" s="2" t="inlineStr">
        <is>
          <t>External plaster</t>
        </is>
      </c>
      <c r="D9" s="2" t="inlineStr">
        <is>
          <t>m²</t>
        </is>
      </c>
      <c r="E9" s="2" t="n">
        <v>1920</v>
      </c>
      <c r="F9" s="2" t="n">
        <v>365</v>
      </c>
      <c r="G9" s="2" t="n">
        <v>700800</v>
      </c>
    </row>
    <row r="10">
      <c r="A10" s="2" t="inlineStr">
        <is>
          <t>9</t>
        </is>
      </c>
      <c r="B10" s="2" t="inlineStr">
        <is>
          <t>Flooring</t>
        </is>
      </c>
      <c r="C10" s="2" t="inlineStr">
        <is>
          <t>Vitrified flooring</t>
        </is>
      </c>
      <c r="D10" s="2" t="inlineStr">
        <is>
          <t>m²</t>
        </is>
      </c>
      <c r="E10" s="2" t="n">
        <v>3600</v>
      </c>
      <c r="F10" s="2" t="n">
        <v>1211.28</v>
      </c>
      <c r="G10" s="2" t="n">
        <v>4360608</v>
      </c>
    </row>
    <row r="11">
      <c r="A11" s="2" t="inlineStr">
        <is>
          <t>10</t>
        </is>
      </c>
      <c r="B11" s="2" t="inlineStr">
        <is>
          <t>Flooring</t>
        </is>
      </c>
      <c r="C11" s="2" t="inlineStr">
        <is>
          <t>Skirting</t>
        </is>
      </c>
      <c r="D11" s="2" t="inlineStr">
        <is>
          <t>m</t>
        </is>
      </c>
      <c r="E11" s="2" t="n">
        <v>1200</v>
      </c>
      <c r="F11" s="2" t="n">
        <v>140</v>
      </c>
      <c r="G11" s="2" t="n">
        <v>168000</v>
      </c>
    </row>
    <row r="12">
      <c r="A12" s="2" t="inlineStr">
        <is>
          <t>11</t>
        </is>
      </c>
      <c r="B12" s="2" t="inlineStr">
        <is>
          <t>Doors/windows</t>
        </is>
      </c>
      <c r="C12" s="2" t="inlineStr">
        <is>
          <t>Doors</t>
        </is>
      </c>
      <c r="D12" s="2" t="inlineStr">
        <is>
          <t>m²</t>
        </is>
      </c>
      <c r="E12" s="2" t="n">
        <v>189</v>
      </c>
      <c r="F12" s="2" t="n">
        <v>12000</v>
      </c>
      <c r="G12" s="2" t="n">
        <v>2268000</v>
      </c>
    </row>
    <row r="13">
      <c r="A13" s="2" t="inlineStr">
        <is>
          <t>12</t>
        </is>
      </c>
      <c r="B13" s="2" t="inlineStr">
        <is>
          <t>Doors/windows</t>
        </is>
      </c>
      <c r="C13" s="2" t="inlineStr">
        <is>
          <t>Windows</t>
        </is>
      </c>
      <c r="D13" s="2" t="inlineStr">
        <is>
          <t>m²</t>
        </is>
      </c>
      <c r="E13" s="2" t="n">
        <v>225</v>
      </c>
      <c r="F13" s="2" t="n">
        <v>9000</v>
      </c>
      <c r="G13" s="2" t="n">
        <v>2025000</v>
      </c>
    </row>
    <row r="14">
      <c r="A14" s="2" t="inlineStr">
        <is>
          <t>13</t>
        </is>
      </c>
      <c r="B14" s="2" t="inlineStr">
        <is>
          <t>Waterproofing</t>
        </is>
      </c>
      <c r="C14" s="2" t="inlineStr">
        <is>
          <t>Terrace and wet-area waterproofing</t>
        </is>
      </c>
      <c r="D14" s="2" t="inlineStr">
        <is>
          <t>m²</t>
        </is>
      </c>
      <c r="E14" s="2" t="n">
        <v>1200</v>
      </c>
      <c r="F14" s="2" t="n">
        <v>735.42</v>
      </c>
      <c r="G14" s="2" t="n">
        <v>882504</v>
      </c>
    </row>
    <row r="15">
      <c r="A15" s="2" t="inlineStr">
        <is>
          <t>14</t>
        </is>
      </c>
      <c r="B15" s="2" t="inlineStr">
        <is>
          <t>Painting</t>
        </is>
      </c>
      <c r="C15" s="2" t="inlineStr">
        <is>
          <t>Internal painting</t>
        </is>
      </c>
      <c r="D15" s="2" t="inlineStr">
        <is>
          <t>m²</t>
        </is>
      </c>
      <c r="E15" s="2" t="n">
        <v>13440</v>
      </c>
      <c r="F15" s="2" t="n">
        <v>221.71</v>
      </c>
      <c r="G15" s="2" t="n">
        <v>2979782.4</v>
      </c>
    </row>
    <row r="16">
      <c r="A16" s="2" t="inlineStr">
        <is>
          <t>15</t>
        </is>
      </c>
      <c r="B16" s="2" t="inlineStr">
        <is>
          <t>Painting</t>
        </is>
      </c>
      <c r="C16" s="2" t="inlineStr">
        <is>
          <t>External painting</t>
        </is>
      </c>
      <c r="D16" s="2" t="inlineStr">
        <is>
          <t>m²</t>
        </is>
      </c>
      <c r="E16" s="2" t="n">
        <v>1920</v>
      </c>
      <c r="F16" s="2" t="n">
        <v>250</v>
      </c>
      <c r="G16" s="2" t="n">
        <v>480000</v>
      </c>
    </row>
    <row r="17">
      <c r="A17" s="2" t="inlineStr">
        <is>
          <t>16</t>
        </is>
      </c>
      <c r="B17" s="2" t="inlineStr">
        <is>
          <t>External works</t>
        </is>
      </c>
      <c r="C17" s="2" t="inlineStr">
        <is>
          <t>Paving</t>
        </is>
      </c>
      <c r="D17" s="2" t="inlineStr">
        <is>
          <t>m²</t>
        </is>
      </c>
      <c r="E17" s="2" t="n">
        <v>1000</v>
      </c>
      <c r="F17" s="2" t="n">
        <v>900</v>
      </c>
      <c r="G17" s="2" t="n">
        <v>900000</v>
      </c>
    </row>
    <row r="18">
      <c r="A18" s="2" t="inlineStr">
        <is>
          <t>17</t>
        </is>
      </c>
      <c r="B18" s="2" t="inlineStr">
        <is>
          <t>External works</t>
        </is>
      </c>
      <c r="C18" s="2" t="inlineStr">
        <is>
          <t>Storm-water drain</t>
        </is>
      </c>
      <c r="D18" s="2" t="inlineStr">
        <is>
          <t>m</t>
        </is>
      </c>
      <c r="E18" s="2" t="n">
        <v>250</v>
      </c>
      <c r="F18" s="2" t="n">
        <v>1800</v>
      </c>
      <c r="G18" s="2" t="n">
        <v>450000</v>
      </c>
    </row>
    <row r="19">
      <c r="A19" s="2" t="inlineStr">
        <is>
          <t>18</t>
        </is>
      </c>
      <c r="B19" s="2" t="inlineStr">
        <is>
          <t>Services</t>
        </is>
      </c>
      <c r="C19" s="2" t="inlineStr">
        <is>
          <t>Plumbing and sanitary package</t>
        </is>
      </c>
      <c r="D19" s="2" t="inlineStr">
        <is>
          <t>LS</t>
        </is>
      </c>
      <c r="E19" s="2" t="n">
        <v>1</v>
      </c>
      <c r="F19" s="2" t="n">
        <v>3200000</v>
      </c>
      <c r="G19" s="2" t="n">
        <v>3200000</v>
      </c>
    </row>
    <row r="20">
      <c r="A20" s="2" t="inlineStr">
        <is>
          <t>19</t>
        </is>
      </c>
      <c r="B20" s="2" t="inlineStr">
        <is>
          <t>Services</t>
        </is>
      </c>
      <c r="C20" s="2" t="inlineStr">
        <is>
          <t>Electrical and lighting package</t>
        </is>
      </c>
      <c r="D20" s="2" t="inlineStr">
        <is>
          <t>LS</t>
        </is>
      </c>
      <c r="E20" s="2" t="n">
        <v>1</v>
      </c>
      <c r="F20" s="2" t="n">
        <v>4800000</v>
      </c>
      <c r="G20" s="2" t="n">
        <v>4800000</v>
      </c>
    </row>
    <row r="21">
      <c r="A21" s="2" t="inlineStr">
        <is>
          <t>20</t>
        </is>
      </c>
      <c r="B21" s="2" t="inlineStr">
        <is>
          <t>External works</t>
        </is>
      </c>
      <c r="C21" s="2" t="inlineStr">
        <is>
          <t>Site development/landscape</t>
        </is>
      </c>
      <c r="D21" s="2" t="inlineStr">
        <is>
          <t>LS</t>
        </is>
      </c>
      <c r="E21" s="2" t="n">
        <v>1</v>
      </c>
      <c r="F21" s="2" t="n">
        <v>1500000</v>
      </c>
      <c r="G21" s="2" t="n">
        <v>1500000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1" customWidth="1" min="3" max="3"/>
  </cols>
  <sheetData>
    <row r="1">
      <c r="A1" s="3" t="inlineStr">
        <is>
          <t>Group</t>
        </is>
      </c>
      <c r="B1" s="3" t="inlineStr">
        <is>
          <t>Amount</t>
        </is>
      </c>
      <c r="C1" s="3" t="inlineStr">
        <is>
          <t>% Direct Cost</t>
        </is>
      </c>
    </row>
    <row r="2">
      <c r="A2" s="2" t="inlineStr">
        <is>
          <t>Earthwork</t>
        </is>
      </c>
      <c r="B2" s="2" t="n">
        <v>81124.67999999999</v>
      </c>
      <c r="C2" s="2" t="n">
        <v>0.1206701256255928</v>
      </c>
    </row>
    <row r="3">
      <c r="A3" s="2" t="inlineStr">
        <is>
          <t>Foundation</t>
        </is>
      </c>
      <c r="B3" s="2" t="n">
        <v>80463.60000000001</v>
      </c>
      <c r="C3" s="2" t="n">
        <v>0.119686792234958</v>
      </c>
    </row>
    <row r="4">
      <c r="A4" s="2" t="inlineStr">
        <is>
          <t>RCC</t>
        </is>
      </c>
      <c r="B4" s="2" t="n">
        <v>21833239.7715</v>
      </c>
      <c r="C4" s="2" t="n">
        <v>32.47618093582118</v>
      </c>
    </row>
    <row r="5">
      <c r="A5" s="2" t="inlineStr">
        <is>
          <t>Reinforcement</t>
        </is>
      </c>
      <c r="B5" s="2" t="n">
        <v>8808276.739185</v>
      </c>
      <c r="C5" s="2" t="n">
        <v>13.10200373871972</v>
      </c>
    </row>
    <row r="6">
      <c r="A6" s="2" t="inlineStr">
        <is>
          <t>Masonry</t>
        </is>
      </c>
      <c r="B6" s="2" t="n">
        <v>7858767.467999999</v>
      </c>
      <c r="C6" s="2" t="n">
        <v>11.68964188981555</v>
      </c>
    </row>
    <row r="7">
      <c r="A7" s="2" t="inlineStr">
        <is>
          <t>Plastering</t>
        </is>
      </c>
      <c r="B7" s="2" t="n">
        <v>4552704</v>
      </c>
      <c r="C7" s="2" t="n">
        <v>6.771988051184165</v>
      </c>
    </row>
    <row r="8">
      <c r="A8" s="2" t="inlineStr">
        <is>
          <t>Flooring</t>
        </is>
      </c>
      <c r="B8" s="2" t="n">
        <v>4528608</v>
      </c>
      <c r="C8" s="2" t="n">
        <v>6.73614609350773</v>
      </c>
    </row>
    <row r="9">
      <c r="A9" s="2" t="inlineStr">
        <is>
          <t>Doors/windows</t>
        </is>
      </c>
      <c r="B9" s="2" t="n">
        <v>4293000</v>
      </c>
      <c r="C9" s="2" t="n">
        <v>6.38568742965359</v>
      </c>
    </row>
    <row r="10">
      <c r="A10" s="2" t="inlineStr">
        <is>
          <t>Waterproofing</t>
        </is>
      </c>
      <c r="B10" s="2" t="n">
        <v>882504</v>
      </c>
      <c r="C10" s="2" t="n">
        <v>1.312693850318894</v>
      </c>
    </row>
    <row r="11">
      <c r="A11" s="2" t="inlineStr">
        <is>
          <t>Painting</t>
        </is>
      </c>
      <c r="B11" s="2" t="n">
        <v>3459782.4</v>
      </c>
      <c r="C11" s="2" t="n">
        <v>5.146305376430638</v>
      </c>
    </row>
    <row r="12">
      <c r="A12" s="2" t="inlineStr">
        <is>
          <t>External works</t>
        </is>
      </c>
      <c r="B12" s="2" t="n">
        <v>2850000</v>
      </c>
      <c r="C12" s="2" t="n">
        <v>4.239275372586241</v>
      </c>
    </row>
    <row r="13">
      <c r="A13" s="2" t="inlineStr">
        <is>
          <t>Services</t>
        </is>
      </c>
      <c r="B13" s="2" t="n">
        <v>8000000</v>
      </c>
      <c r="C13" s="2" t="n">
        <v>11.89972034410173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9" customWidth="1" min="3" max="3"/>
  </cols>
  <sheetData>
    <row r="1">
      <c r="A1" s="3" t="inlineStr">
        <is>
          <t>Category</t>
        </is>
      </c>
      <c r="B1" s="3" t="inlineStr">
        <is>
          <t>Amount</t>
        </is>
      </c>
      <c r="C1" s="3" t="inlineStr">
        <is>
          <t>% Direct Cost</t>
        </is>
      </c>
    </row>
    <row r="2">
      <c r="A2" s="2" t="inlineStr">
        <is>
          <t>Materials</t>
        </is>
      </c>
      <c r="B2" s="2" t="n">
        <v>36975658.86227676</v>
      </c>
      <c r="C2" s="2" t="n">
        <v>55.00000000000001</v>
      </c>
    </row>
    <row r="3">
      <c r="A3" s="2" t="inlineStr">
        <is>
          <t>Labour</t>
        </is>
      </c>
      <c r="B3" s="2" t="n">
        <v>16807117.66467125</v>
      </c>
      <c r="C3" s="2" t="n">
        <v>25</v>
      </c>
    </row>
    <row r="4">
      <c r="A4" s="2" t="inlineStr">
        <is>
          <t>Equipment/machinery</t>
        </is>
      </c>
      <c r="B4" s="2" t="n">
        <v>4705992.94610795</v>
      </c>
      <c r="C4" s="2" t="n">
        <v>7.000000000000001</v>
      </c>
    </row>
    <row r="5">
      <c r="A5" s="2" t="inlineStr">
        <is>
          <t>Specialist/subcontract packages</t>
        </is>
      </c>
      <c r="B5" s="2" t="n">
        <v>8739701.185629049</v>
      </c>
      <c r="C5" s="2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7" customWidth="1" min="2" max="2"/>
    <col width="24" customWidth="1" min="3" max="3"/>
    <col width="23" customWidth="1" min="4" max="4"/>
    <col width="62" customWidth="1" min="5" max="5"/>
    <col width="61" customWidth="1" min="6" max="6"/>
    <col width="62" customWidth="1" min="7" max="7"/>
  </cols>
  <sheetData>
    <row r="1">
      <c r="A1" s="3" t="inlineStr">
        <is>
          <t>Option</t>
        </is>
      </c>
      <c r="B1" s="3" t="inlineStr">
        <is>
          <t>Alternative</t>
        </is>
      </c>
      <c r="C1" s="3" t="inlineStr">
        <is>
          <t>Relative initial cost*</t>
        </is>
      </c>
      <c r="D1" s="3" t="inlineStr">
        <is>
          <t>Relative labour/time*</t>
        </is>
      </c>
      <c r="E1" s="3" t="inlineStr">
        <is>
          <t>Technical implication</t>
        </is>
      </c>
      <c r="F1" s="3" t="inlineStr">
        <is>
          <t>Decision</t>
        </is>
      </c>
      <c r="G1" s="3" t="inlineStr">
        <is>
          <t>Note</t>
        </is>
      </c>
    </row>
    <row r="2">
      <c r="A2" s="2" t="inlineStr">
        <is>
          <t>Baseline</t>
        </is>
      </c>
      <c r="B2" s="2" t="inlineStr">
        <is>
          <t>Clay-brick masonry</t>
        </is>
      </c>
      <c r="C2" s="2" t="inlineStr">
        <is>
          <t>1.00</t>
        </is>
      </c>
      <c r="D2" s="2" t="inlineStr">
        <is>
          <t>1.00</t>
        </is>
      </c>
      <c r="E2" s="2" t="inlineStr">
        <is>
          <t>Baseline</t>
        </is>
      </c>
      <c r="F2" s="2" t="inlineStr">
        <is>
          <t>Reference</t>
        </is>
      </c>
      <c r="G2" s="2" t="inlineStr">
        <is>
          <t>Relative factors are study hypotheses for testing; replace with supplier/productivity data before claiming savings.</t>
        </is>
      </c>
    </row>
    <row r="3">
      <c r="A3" s="2" t="inlineStr">
        <is>
          <t>A1</t>
        </is>
      </c>
      <c r="B3" s="2" t="inlineStr">
        <is>
          <t>AAC block masonry</t>
        </is>
      </c>
      <c r="C3" s="2" t="inlineStr">
        <is>
          <t>0.88</t>
        </is>
      </c>
      <c r="D3" s="2" t="inlineStr">
        <is>
          <t>0.82</t>
        </is>
      </c>
      <c r="E3" s="2" t="inlineStr">
        <is>
          <t>Lower dead load; faster installation; requires detailing and local availability check</t>
        </is>
      </c>
      <c r="F3" s="2" t="inlineStr">
        <is>
          <t>Preferred if structural/seismic and procurement checks pass</t>
        </is>
      </c>
      <c r="G3" s="2" t="inlineStr">
        <is>
          <t>Relative factors are study hypotheses for testing; replace with supplier/productivity data before claiming savings.</t>
        </is>
      </c>
    </row>
    <row r="4">
      <c r="A4" s="2" t="inlineStr">
        <is>
          <t>A2</t>
        </is>
      </c>
      <c r="B4" s="2" t="inlineStr">
        <is>
          <t>Higher-grade concrete only where structurally justified</t>
        </is>
      </c>
      <c r="C4" s="2" t="inlineStr">
        <is>
          <t>0.99</t>
        </is>
      </c>
      <c r="D4" s="2" t="inlineStr">
        <is>
          <t>0.98</t>
        </is>
      </c>
      <c r="E4" s="2" t="inlineStr">
        <is>
          <t>May reduce member sizes/rebar only after structural redesign; otherwise no automatic saving</t>
        </is>
      </c>
      <c r="F4" s="2" t="inlineStr">
        <is>
          <t>Do not adopt merely to reduce cement</t>
        </is>
      </c>
      <c r="G4" s="2" t="inlineStr">
        <is>
          <t>Relative factors are study hypotheses for testing; replace with supplier/productivity data before claiming savings.</t>
        </is>
      </c>
    </row>
    <row r="5">
      <c r="A5" s="2" t="inlineStr">
        <is>
          <t>A3</t>
        </is>
      </c>
      <c r="B5" s="2" t="inlineStr">
        <is>
          <t>Optimized formwork / modular panel system</t>
        </is>
      </c>
      <c r="C5" s="2" t="inlineStr">
        <is>
          <t>0.96</t>
        </is>
      </c>
      <c r="D5" s="2" t="inlineStr">
        <is>
          <t>0.80</t>
        </is>
      </c>
      <c r="E5" s="2" t="inlineStr">
        <is>
          <t>Higher setup cost but repetitive G+5 geometry can improve cycle time and labour productivity</t>
        </is>
      </c>
      <c r="F5" s="2" t="inlineStr">
        <is>
          <t>Potentially attractive for repetitive floors</t>
        </is>
      </c>
      <c r="G5" s="2" t="inlineStr">
        <is>
          <t>Relative factors are study hypotheses for testing; replace with supplier/productivity data before claiming savings.</t>
        </is>
      </c>
    </row>
    <row r="6">
      <c r="A6" s="2" t="inlineStr">
        <is>
          <t>A4</t>
        </is>
      </c>
      <c r="B6" s="2" t="inlineStr">
        <is>
          <t>Flooring substitution: standard vitrified tile</t>
        </is>
      </c>
      <c r="C6" s="2" t="inlineStr">
        <is>
          <t>0.90</t>
        </is>
      </c>
      <c r="D6" s="2" t="inlineStr">
        <is>
          <t>0.95</t>
        </is>
      </c>
      <c r="E6" s="2" t="inlineStr">
        <is>
          <t>Functionally adequate in most academic areas; verify wear/slip requirements</t>
        </is>
      </c>
      <c r="F6" s="2" t="inlineStr">
        <is>
          <t>Good low-risk VE option</t>
        </is>
      </c>
      <c r="G6" s="2" t="inlineStr">
        <is>
          <t>Relative factors are study hypotheses for testing; replace with supplier/productivity data before claiming savings.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22" customWidth="1" min="4" max="4"/>
  </cols>
  <sheetData>
    <row r="1">
      <c r="A1" s="3" t="inlineStr">
        <is>
          <t>Variable change</t>
        </is>
      </c>
      <c r="B1" s="3" t="inlineStr">
        <is>
          <t>Change %</t>
        </is>
      </c>
      <c r="C1" s="3" t="inlineStr">
        <is>
          <t>Total project cost</t>
        </is>
      </c>
      <c r="D1" s="3" t="inlineStr">
        <is>
          <t>Total cost change %</t>
        </is>
      </c>
    </row>
    <row r="2">
      <c r="A2" s="2" t="inlineStr">
        <is>
          <t>Steel price</t>
        </is>
      </c>
      <c r="B2" s="2" t="n">
        <v>-15</v>
      </c>
      <c r="C2" s="2" t="n">
        <v>95314508.84576383</v>
      </c>
      <c r="D2" s="2" t="n">
        <v>-1.597051597051593</v>
      </c>
    </row>
    <row r="3">
      <c r="A3" s="2" t="inlineStr">
        <is>
          <t>Steel price</t>
        </is>
      </c>
      <c r="B3" s="2" t="n">
        <v>-10</v>
      </c>
      <c r="C3" s="2" t="n">
        <v>95830151.21571594</v>
      </c>
      <c r="D3" s="2" t="n">
        <v>-1.064701064701062</v>
      </c>
    </row>
    <row r="4">
      <c r="A4" s="2" t="inlineStr">
        <is>
          <t>Steel price</t>
        </is>
      </c>
      <c r="B4" s="2" t="n">
        <v>-5</v>
      </c>
      <c r="C4" s="2" t="n">
        <v>96345793.58566806</v>
      </c>
      <c r="D4" s="2" t="n">
        <v>-0.5323505323505309</v>
      </c>
    </row>
    <row r="5">
      <c r="A5" s="2" t="inlineStr">
        <is>
          <t>Steel price</t>
        </is>
      </c>
      <c r="B5" s="2" t="n">
        <v>0</v>
      </c>
      <c r="C5" s="2" t="n">
        <v>96861435.95562017</v>
      </c>
      <c r="D5" s="2" t="n">
        <v>0</v>
      </c>
    </row>
    <row r="6">
      <c r="A6" s="2" t="inlineStr">
        <is>
          <t>Steel price</t>
        </is>
      </c>
      <c r="B6" s="2" t="n">
        <v>5</v>
      </c>
      <c r="C6" s="2" t="n">
        <v>97377078.32557228</v>
      </c>
      <c r="D6" s="2" t="n">
        <v>0.5323505323505309</v>
      </c>
    </row>
    <row r="7">
      <c r="A7" s="2" t="inlineStr">
        <is>
          <t>Steel price</t>
        </is>
      </c>
      <c r="B7" s="2" t="n">
        <v>10</v>
      </c>
      <c r="C7" s="2" t="n">
        <v>97892720.69552441</v>
      </c>
      <c r="D7" s="2" t="n">
        <v>1.064701064701077</v>
      </c>
    </row>
    <row r="8">
      <c r="A8" s="2" t="inlineStr">
        <is>
          <t>Steel price</t>
        </is>
      </c>
      <c r="B8" s="2" t="n">
        <v>15</v>
      </c>
      <c r="C8" s="2" t="n">
        <v>98408363.06547652</v>
      </c>
      <c r="D8" s="2" t="n">
        <v>1.597051597051608</v>
      </c>
    </row>
    <row r="9">
      <c r="A9" s="2" t="inlineStr">
        <is>
          <t>Labour cost</t>
        </is>
      </c>
      <c r="B9" s="2" t="n">
        <v>-15</v>
      </c>
      <c r="C9" s="2" t="n">
        <v>93886576.12897336</v>
      </c>
      <c r="D9" s="2" t="n">
        <v>-3.071253071253065</v>
      </c>
    </row>
    <row r="10">
      <c r="A10" s="2" t="inlineStr">
        <is>
          <t>Labour cost</t>
        </is>
      </c>
      <c r="B10" s="2" t="n">
        <v>-10</v>
      </c>
      <c r="C10" s="2" t="n">
        <v>94878196.07118897</v>
      </c>
      <c r="D10" s="2" t="n">
        <v>-2.047502047502038</v>
      </c>
    </row>
    <row r="11">
      <c r="A11" s="2" t="inlineStr">
        <is>
          <t>Labour cost</t>
        </is>
      </c>
      <c r="B11" s="2" t="n">
        <v>-5</v>
      </c>
      <c r="C11" s="2" t="n">
        <v>95869816.01340456</v>
      </c>
      <c r="D11" s="2" t="n">
        <v>-1.023751023751027</v>
      </c>
    </row>
    <row r="12">
      <c r="A12" s="2" t="inlineStr">
        <is>
          <t>Labour cost</t>
        </is>
      </c>
      <c r="B12" s="2" t="n">
        <v>0</v>
      </c>
      <c r="C12" s="2" t="n">
        <v>96861435.95562017</v>
      </c>
      <c r="D12" s="2" t="n">
        <v>0</v>
      </c>
    </row>
    <row r="13">
      <c r="A13" s="2" t="inlineStr">
        <is>
          <t>Labour cost</t>
        </is>
      </c>
      <c r="B13" s="2" t="n">
        <v>5</v>
      </c>
      <c r="C13" s="2" t="n">
        <v>97853055.89783578</v>
      </c>
      <c r="D13" s="2" t="n">
        <v>1.023751023751027</v>
      </c>
    </row>
    <row r="14">
      <c r="A14" s="2" t="inlineStr">
        <is>
          <t>Labour cost</t>
        </is>
      </c>
      <c r="B14" s="2" t="n">
        <v>10</v>
      </c>
      <c r="C14" s="2" t="n">
        <v>98844675.84005138</v>
      </c>
      <c r="D14" s="2" t="n">
        <v>2.047502047502054</v>
      </c>
    </row>
    <row r="15">
      <c r="A15" s="2" t="inlineStr">
        <is>
          <t>Labour cost</t>
        </is>
      </c>
      <c r="B15" s="2" t="n">
        <v>15</v>
      </c>
      <c r="C15" s="2" t="n">
        <v>99836295.78226699</v>
      </c>
      <c r="D15" s="2" t="n">
        <v>3.07125307125308</v>
      </c>
    </row>
    <row r="16">
      <c r="A16" s="2" t="inlineStr">
        <is>
          <t>Cement/concrete input</t>
        </is>
      </c>
      <c r="B16" s="2" t="n">
        <v>-15</v>
      </c>
      <c r="C16" s="2" t="n">
        <v>95433503.23882969</v>
      </c>
      <c r="D16" s="2" t="n">
        <v>-1.474201474201488</v>
      </c>
    </row>
    <row r="17">
      <c r="A17" s="2" t="inlineStr">
        <is>
          <t>Cement/concrete input</t>
        </is>
      </c>
      <c r="B17" s="2" t="n">
        <v>-10</v>
      </c>
      <c r="C17" s="2" t="n">
        <v>95909480.8110932</v>
      </c>
      <c r="D17" s="2" t="n">
        <v>-0.9828009828009764</v>
      </c>
    </row>
    <row r="18">
      <c r="A18" s="2" t="inlineStr">
        <is>
          <t>Cement/concrete input</t>
        </is>
      </c>
      <c r="B18" s="2" t="n">
        <v>-5</v>
      </c>
      <c r="C18" s="2" t="n">
        <v>96385458.38335669</v>
      </c>
      <c r="D18" s="2" t="n">
        <v>-0.4914004914004805</v>
      </c>
    </row>
    <row r="19">
      <c r="A19" s="2" t="inlineStr">
        <is>
          <t>Cement/concrete input</t>
        </is>
      </c>
      <c r="B19" s="2" t="n">
        <v>0</v>
      </c>
      <c r="C19" s="2" t="n">
        <v>96861435.95562017</v>
      </c>
      <c r="D19" s="2" t="n">
        <v>0</v>
      </c>
    </row>
    <row r="20">
      <c r="A20" s="2" t="inlineStr">
        <is>
          <t>Cement/concrete input</t>
        </is>
      </c>
      <c r="B20" s="2" t="n">
        <v>5</v>
      </c>
      <c r="C20" s="2" t="n">
        <v>97337413.52788366</v>
      </c>
      <c r="D20" s="2" t="n">
        <v>0.4914004914004959</v>
      </c>
    </row>
    <row r="21">
      <c r="A21" s="2" t="inlineStr">
        <is>
          <t>Cement/concrete input</t>
        </is>
      </c>
      <c r="B21" s="2" t="n">
        <v>10</v>
      </c>
      <c r="C21" s="2" t="n">
        <v>97813391.10014714</v>
      </c>
      <c r="D21" s="2" t="n">
        <v>0.9828009828009764</v>
      </c>
    </row>
    <row r="22">
      <c r="A22" s="2" t="inlineStr">
        <is>
          <t>Cement/concrete input</t>
        </is>
      </c>
      <c r="B22" s="2" t="n">
        <v>15</v>
      </c>
      <c r="C22" s="2" t="n">
        <v>98289368.67241064</v>
      </c>
      <c r="D22" s="2" t="n">
        <v>1.474201474201472</v>
      </c>
    </row>
    <row r="23">
      <c r="A23" s="2" t="inlineStr">
        <is>
          <t>Project duration / preliminaries</t>
        </is>
      </c>
      <c r="B23" s="2" t="n">
        <v>-15</v>
      </c>
      <c r="C23" s="2" t="n">
        <v>95909480.81109318</v>
      </c>
      <c r="D23" s="2" t="n">
        <v>-0.9828009828009918</v>
      </c>
    </row>
    <row r="24">
      <c r="A24" s="2" t="inlineStr">
        <is>
          <t>Project duration / preliminaries</t>
        </is>
      </c>
      <c r="B24" s="2" t="n">
        <v>-10</v>
      </c>
      <c r="C24" s="2" t="n">
        <v>96226799.19260217</v>
      </c>
      <c r="D24" s="2" t="n">
        <v>-0.6552006552006664</v>
      </c>
    </row>
    <row r="25">
      <c r="A25" s="2" t="inlineStr">
        <is>
          <t>Project duration / preliminaries</t>
        </is>
      </c>
      <c r="B25" s="2" t="n">
        <v>-5</v>
      </c>
      <c r="C25" s="2" t="n">
        <v>96544117.57411118</v>
      </c>
      <c r="D25" s="2" t="n">
        <v>-0.3276003276003254</v>
      </c>
    </row>
    <row r="26">
      <c r="A26" s="2" t="inlineStr">
        <is>
          <t>Project duration / preliminaries</t>
        </is>
      </c>
      <c r="B26" s="2" t="n">
        <v>0</v>
      </c>
      <c r="C26" s="2" t="n">
        <v>96861435.95562017</v>
      </c>
      <c r="D26" s="2" t="n">
        <v>0</v>
      </c>
    </row>
    <row r="27">
      <c r="A27" s="2" t="inlineStr">
        <is>
          <t>Project duration / preliminaries</t>
        </is>
      </c>
      <c r="B27" s="2" t="n">
        <v>5</v>
      </c>
      <c r="C27" s="2" t="n">
        <v>97178754.33712915</v>
      </c>
      <c r="D27" s="2" t="n">
        <v>0.3276003276003101</v>
      </c>
    </row>
    <row r="28">
      <c r="A28" s="2" t="inlineStr">
        <is>
          <t>Project duration / preliminaries</t>
        </is>
      </c>
      <c r="B28" s="2" t="n">
        <v>10</v>
      </c>
      <c r="C28" s="2" t="n">
        <v>97496072.71863815</v>
      </c>
      <c r="D28" s="2" t="n">
        <v>0.6552006552006508</v>
      </c>
    </row>
    <row r="29">
      <c r="A29" s="2" t="inlineStr">
        <is>
          <t>Project duration / preliminaries</t>
        </is>
      </c>
      <c r="B29" s="2" t="n">
        <v>15</v>
      </c>
      <c r="C29" s="2" t="n">
        <v>97813391.10014714</v>
      </c>
      <c r="D29" s="2" t="n">
        <v>0.9828009828009764</v>
      </c>
    </row>
    <row r="30"/>
    <row r="31"/>
    <row r="32">
      <c r="A32" s="4" t="inlineStr">
        <is>
          <t>Variable</t>
        </is>
      </c>
      <c r="B32" s="4" t="inlineStr">
        <is>
          <t>-15% total</t>
        </is>
      </c>
      <c r="C32" s="4" t="inlineStr">
        <is>
          <t>Base</t>
        </is>
      </c>
      <c r="D32" s="4" t="inlineStr">
        <is>
          <t>+15% total</t>
        </is>
      </c>
    </row>
    <row r="33">
      <c r="A33" s="2" t="inlineStr">
        <is>
          <t>Steel price</t>
        </is>
      </c>
      <c r="B33" s="2" t="n">
        <v>95314508.84576383</v>
      </c>
      <c r="C33" s="2" t="n">
        <v>96861435.95562017</v>
      </c>
      <c r="D33" s="2" t="n">
        <v>98408363.06547652</v>
      </c>
    </row>
    <row r="34">
      <c r="A34" s="2" t="inlineStr">
        <is>
          <t>Labour cost</t>
        </is>
      </c>
      <c r="B34" s="2" t="n">
        <v>93886576.12897336</v>
      </c>
      <c r="C34" s="2" t="n">
        <v>96861435.95562017</v>
      </c>
      <c r="D34" s="2" t="n">
        <v>99836295.78226699</v>
      </c>
    </row>
    <row r="35">
      <c r="A35" s="2" t="inlineStr">
        <is>
          <t>Cement/concrete input</t>
        </is>
      </c>
      <c r="B35" s="2" t="n">
        <v>95433503.23882969</v>
      </c>
      <c r="C35" s="2" t="n">
        <v>96861435.95562017</v>
      </c>
      <c r="D35" s="2" t="n">
        <v>98289368.67241064</v>
      </c>
    </row>
    <row r="36">
      <c r="A36" s="2" t="inlineStr">
        <is>
          <t>Project duration / preliminaries</t>
        </is>
      </c>
      <c r="B36" s="2" t="n">
        <v>95909480.81109318</v>
      </c>
      <c r="C36" s="2" t="n">
        <v>96861435.95562017</v>
      </c>
      <c r="D36" s="2" t="n">
        <v>97813391.10014714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4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% of pre-GST cost</t>
        </is>
      </c>
      <c r="C1" s="3" t="inlineStr">
        <is>
          <t>Monthly expenditure</t>
        </is>
      </c>
      <c r="D1" s="3" t="inlineStr">
        <is>
          <t>Cumulative expenditure</t>
        </is>
      </c>
      <c r="E1" s="3" t="inlineStr">
        <is>
          <t>Cumulative %</t>
        </is>
      </c>
    </row>
    <row r="2">
      <c r="A2" s="2" t="n">
        <v>1</v>
      </c>
      <c r="B2" s="2" t="n">
        <v>1.818181818181818</v>
      </c>
      <c r="C2" s="2" t="n">
        <v>1492472.048622807</v>
      </c>
      <c r="D2" s="2" t="n">
        <v>1492472.048622807</v>
      </c>
      <c r="E2" s="2" t="n">
        <v>1.818181818181818</v>
      </c>
    </row>
    <row r="3">
      <c r="A3" s="2" t="n">
        <v>2</v>
      </c>
      <c r="B3" s="2" t="n">
        <v>2.727272727272727</v>
      </c>
      <c r="C3" s="2" t="n">
        <v>2238708.07293421</v>
      </c>
      <c r="D3" s="2" t="n">
        <v>3731180.121557017</v>
      </c>
      <c r="E3" s="2" t="n">
        <v>4.545454545454545</v>
      </c>
    </row>
    <row r="4">
      <c r="A4" s="2" t="n">
        <v>3</v>
      </c>
      <c r="B4" s="2" t="n">
        <v>3.636363636363636</v>
      </c>
      <c r="C4" s="2" t="n">
        <v>2984944.097245614</v>
      </c>
      <c r="D4" s="2" t="n">
        <v>6716124.218802631</v>
      </c>
      <c r="E4" s="2" t="n">
        <v>8.18181818181818</v>
      </c>
    </row>
    <row r="5">
      <c r="A5" s="2" t="n">
        <v>4</v>
      </c>
      <c r="B5" s="2" t="n">
        <v>4.545454545454546</v>
      </c>
      <c r="C5" s="2" t="n">
        <v>3731180.121557018</v>
      </c>
      <c r="D5" s="2" t="n">
        <v>10447304.34035965</v>
      </c>
      <c r="E5" s="2" t="n">
        <v>12.72727272727273</v>
      </c>
    </row>
    <row r="6">
      <c r="A6" s="2" t="n">
        <v>5</v>
      </c>
      <c r="B6" s="2" t="n">
        <v>5.454545454545453</v>
      </c>
      <c r="C6" s="2" t="n">
        <v>4477416.145868421</v>
      </c>
      <c r="D6" s="2" t="n">
        <v>14924720.48622807</v>
      </c>
      <c r="E6" s="2" t="n">
        <v>18.18181818181818</v>
      </c>
    </row>
    <row r="7">
      <c r="A7" s="2" t="n">
        <v>6</v>
      </c>
      <c r="B7" s="2" t="n">
        <v>6.363636363636364</v>
      </c>
      <c r="C7" s="2" t="n">
        <v>5223652.170179825</v>
      </c>
      <c r="D7" s="2" t="n">
        <v>20148372.65640789</v>
      </c>
      <c r="E7" s="2" t="n">
        <v>24.54545454545454</v>
      </c>
    </row>
    <row r="8">
      <c r="A8" s="2" t="n">
        <v>7</v>
      </c>
      <c r="B8" s="2" t="n">
        <v>7.272727272727272</v>
      </c>
      <c r="C8" s="2" t="n">
        <v>5969888.194491228</v>
      </c>
      <c r="D8" s="2" t="n">
        <v>26118260.85089912</v>
      </c>
      <c r="E8" s="2" t="n">
        <v>31.81818181818182</v>
      </c>
    </row>
    <row r="9">
      <c r="A9" s="2" t="n">
        <v>8</v>
      </c>
      <c r="B9" s="2" t="n">
        <v>8.18181818181818</v>
      </c>
      <c r="C9" s="2" t="n">
        <v>6716124.218802631</v>
      </c>
      <c r="D9" s="2" t="n">
        <v>32834385.06970175</v>
      </c>
      <c r="E9" s="2" t="n">
        <v>40</v>
      </c>
    </row>
    <row r="10">
      <c r="A10" s="2" t="n">
        <v>9</v>
      </c>
      <c r="B10" s="2" t="n">
        <v>9.090909090909092</v>
      </c>
      <c r="C10" s="2" t="n">
        <v>7462360.243114036</v>
      </c>
      <c r="D10" s="2" t="n">
        <v>40296745.31281579</v>
      </c>
      <c r="E10" s="2" t="n">
        <v>49.09090909090909</v>
      </c>
    </row>
    <row r="11">
      <c r="A11" s="2" t="n">
        <v>10</v>
      </c>
      <c r="B11" s="2" t="n">
        <v>9.090909090909092</v>
      </c>
      <c r="C11" s="2" t="n">
        <v>7462360.243114036</v>
      </c>
      <c r="D11" s="2" t="n">
        <v>47759105.55592982</v>
      </c>
      <c r="E11" s="2" t="n">
        <v>58.18181818181818</v>
      </c>
    </row>
    <row r="12">
      <c r="A12" s="2" t="n">
        <v>11</v>
      </c>
      <c r="B12" s="2" t="n">
        <v>9.090909090909092</v>
      </c>
      <c r="C12" s="2" t="n">
        <v>7462360.243114036</v>
      </c>
      <c r="D12" s="2" t="n">
        <v>55221465.79904386</v>
      </c>
      <c r="E12" s="2" t="n">
        <v>67.27272727272727</v>
      </c>
    </row>
    <row r="13">
      <c r="A13" s="2" t="n">
        <v>12</v>
      </c>
      <c r="B13" s="2" t="n">
        <v>8.18181818181818</v>
      </c>
      <c r="C13" s="2" t="n">
        <v>6716124.218802631</v>
      </c>
      <c r="D13" s="2" t="n">
        <v>61937590.01784649</v>
      </c>
      <c r="E13" s="2" t="n">
        <v>75.45454545454547</v>
      </c>
    </row>
    <row r="14">
      <c r="A14" s="2" t="n">
        <v>13</v>
      </c>
      <c r="B14" s="2" t="n">
        <v>7.272727272727272</v>
      </c>
      <c r="C14" s="2" t="n">
        <v>5969888.194491228</v>
      </c>
      <c r="D14" s="2" t="n">
        <v>67907478.21233772</v>
      </c>
      <c r="E14" s="2" t="n">
        <v>82.72727272727273</v>
      </c>
    </row>
    <row r="15">
      <c r="A15" s="2" t="n">
        <v>14</v>
      </c>
      <c r="B15" s="2" t="n">
        <v>5.454545454545453</v>
      </c>
      <c r="C15" s="2" t="n">
        <v>4477416.145868421</v>
      </c>
      <c r="D15" s="2" t="n">
        <v>72384894.35820614</v>
      </c>
      <c r="E15" s="2" t="n">
        <v>88.18181818181817</v>
      </c>
    </row>
    <row r="16">
      <c r="A16" s="2" t="n">
        <v>15</v>
      </c>
      <c r="B16" s="2" t="n">
        <v>4.545454545454546</v>
      </c>
      <c r="C16" s="2" t="n">
        <v>3731180.121557018</v>
      </c>
      <c r="D16" s="2" t="n">
        <v>76116074.47976315</v>
      </c>
      <c r="E16" s="2" t="n">
        <v>92.72727272727272</v>
      </c>
    </row>
    <row r="17">
      <c r="A17" s="2" t="n">
        <v>16</v>
      </c>
      <c r="B17" s="2" t="n">
        <v>3.636363636363636</v>
      </c>
      <c r="C17" s="2" t="n">
        <v>2984944.097245614</v>
      </c>
      <c r="D17" s="2" t="n">
        <v>79101018.57700877</v>
      </c>
      <c r="E17" s="2" t="n">
        <v>96.36363636363636</v>
      </c>
    </row>
    <row r="18">
      <c r="A18" s="2" t="n">
        <v>17</v>
      </c>
      <c r="B18" s="2" t="n">
        <v>1.818181818181818</v>
      </c>
      <c r="C18" s="2" t="n">
        <v>1492472.048622807</v>
      </c>
      <c r="D18" s="2" t="n">
        <v>80593490.62563157</v>
      </c>
      <c r="E18" s="2" t="n">
        <v>98.18181818181817</v>
      </c>
    </row>
    <row r="19">
      <c r="A19" s="2" t="n">
        <v>18</v>
      </c>
      <c r="B19" s="2" t="n">
        <v>1.818181818181818</v>
      </c>
      <c r="C19" s="2" t="n">
        <v>1492472.048622807</v>
      </c>
      <c r="D19" s="2" t="n">
        <v>82085962.67425437</v>
      </c>
      <c r="E19" s="2" t="n">
        <v>99.99999999999997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4" t="inlineStr">
        <is>
          <t>Built-up area (m²)</t>
        </is>
      </c>
      <c r="B1" s="4" t="n">
        <v>3600</v>
      </c>
    </row>
    <row r="2">
      <c r="A2" s="2" t="inlineStr">
        <is>
          <t>Direct estimated work cost (₹)</t>
        </is>
      </c>
      <c r="B2" s="5" t="n">
        <v>67228470.658685</v>
      </c>
    </row>
    <row r="3">
      <c r="A3" s="2" t="inlineStr">
        <is>
          <t>Site/project overhead @ 8% (₹)</t>
        </is>
      </c>
      <c r="B3" s="5" t="n">
        <v>5378277.6526948</v>
      </c>
    </row>
    <row r="4">
      <c r="A4" s="2" t="inlineStr">
        <is>
          <t>Contingency @ 3% of direct cost (₹)</t>
        </is>
      </c>
      <c r="B4" s="5" t="n">
        <v>2016854.11976055</v>
      </c>
    </row>
    <row r="5">
      <c r="A5" s="2" t="inlineStr">
        <is>
          <t>Contractor profit @ 10% (₹)</t>
        </is>
      </c>
      <c r="B5" s="5" t="n">
        <v>7462360.243114036</v>
      </c>
    </row>
    <row r="6">
      <c r="A6" s="2" t="inlineStr">
        <is>
          <t>Pre-GST project cost (₹)</t>
        </is>
      </c>
      <c r="B6" s="5" t="n">
        <v>82085962.67425439</v>
      </c>
    </row>
    <row r="7">
      <c r="A7" s="2" t="inlineStr">
        <is>
          <t>Illustrative GST @ 18% (₹)</t>
        </is>
      </c>
      <c r="B7" s="5" t="n">
        <v>14775473.28136579</v>
      </c>
    </row>
    <row r="8">
      <c r="A8" s="4" t="inlineStr">
        <is>
          <t>Illustrative total incl. GST (₹)</t>
        </is>
      </c>
      <c r="B8" s="6" t="n">
        <v>96861435.95562017</v>
      </c>
    </row>
    <row r="9">
      <c r="A9" s="4" t="inlineStr">
        <is>
          <t>Illustrative cost per m² incl. GST (₹/m²)</t>
        </is>
      </c>
      <c r="B9" s="6" t="n">
        <v>26905.95443211671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2" customWidth="1" min="3" max="3"/>
  </cols>
  <sheetData>
    <row r="1">
      <c r="A1" s="3" t="inlineStr">
        <is>
          <t>Reference</t>
        </is>
      </c>
      <c r="B1" s="3" t="inlineStr">
        <is>
          <t>Title / use</t>
        </is>
      </c>
      <c r="C1" s="3" t="inlineStr">
        <is>
          <t>Application note</t>
        </is>
      </c>
    </row>
    <row r="2">
      <c r="A2" s="2" t="inlineStr">
        <is>
          <t>IS 456:2000</t>
        </is>
      </c>
      <c r="B2" s="2" t="inlineStr">
        <is>
          <t>Plain and reinforced concrete – Code of Practice</t>
        </is>
      </c>
      <c r="C2" s="2" t="inlineStr">
        <is>
          <t>Structural concrete design/construction basis; current BIS page shows review in 2025.</t>
        </is>
      </c>
    </row>
    <row r="3">
      <c r="A3" s="2" t="inlineStr">
        <is>
          <t>IS 875 (Part 1):2026</t>
        </is>
      </c>
      <c r="B3" s="2" t="inlineStr">
        <is>
          <t>Dead loads / unit weights</t>
        </is>
      </c>
      <c r="C3" s="2" t="inlineStr">
        <is>
          <t>Use current BIS edition for design inputs where applicable.</t>
        </is>
      </c>
    </row>
    <row r="4">
      <c r="A4" s="2" t="inlineStr">
        <is>
          <t>IS 875 (Part 2):1987</t>
        </is>
      </c>
      <c r="B4" s="2" t="inlineStr">
        <is>
          <t>Imposed loads</t>
        </is>
      </c>
      <c r="C4" s="2" t="inlineStr">
        <is>
          <t>Building occupancy loading.</t>
        </is>
      </c>
    </row>
    <row r="5">
      <c r="A5" s="2" t="inlineStr">
        <is>
          <t>IS 875 (Part 3):2015</t>
        </is>
      </c>
      <c r="B5" s="2" t="inlineStr">
        <is>
          <t>Wind loads</t>
        </is>
      </c>
      <c r="C5" s="2" t="inlineStr">
        <is>
          <t>Wind design inputs.</t>
        </is>
      </c>
    </row>
    <row r="6">
      <c r="A6" s="2" t="inlineStr">
        <is>
          <t>IS 1893 (Part 1):2025</t>
        </is>
      </c>
      <c r="B6" s="2" t="inlineStr">
        <is>
          <t>Design earthquake hazard and criteria – general provisions</t>
        </is>
      </c>
      <c r="C6" s="2" t="inlineStr">
        <is>
          <t>Current BIS listing identified in source check; structural designer must apply applicable edition.</t>
        </is>
      </c>
    </row>
    <row r="7">
      <c r="A7" s="2" t="inlineStr">
        <is>
          <t>IS 10262:2019</t>
        </is>
      </c>
      <c r="B7" s="2" t="inlineStr">
        <is>
          <t>Concrete mix proportioning – Guidelines</t>
        </is>
      </c>
      <c r="C7" s="2" t="inlineStr">
        <is>
          <t>Concrete mix design.</t>
        </is>
      </c>
    </row>
    <row r="8">
      <c r="A8" s="2" t="inlineStr">
        <is>
          <t>IS 383:2016</t>
        </is>
      </c>
      <c r="B8" s="2" t="inlineStr">
        <is>
          <t>Coarse and fine aggregates for concrete</t>
        </is>
      </c>
      <c r="C8" s="2" t="inlineStr">
        <is>
          <t>Aggregate specification.</t>
        </is>
      </c>
    </row>
    <row r="9">
      <c r="A9" s="2" t="inlineStr">
        <is>
          <t>IS 1077:1992</t>
        </is>
      </c>
      <c r="B9" s="2" t="inlineStr">
        <is>
          <t>Common burnt clay building bricks – Specification</t>
        </is>
      </c>
      <c r="C9" s="2" t="inlineStr">
        <is>
          <t>Baseline brick masonry material.</t>
        </is>
      </c>
    </row>
    <row r="10">
      <c r="A10" s="2" t="inlineStr">
        <is>
          <t>IS 2185 Part 3:1984</t>
        </is>
      </c>
      <c r="B10" s="2" t="inlineStr">
        <is>
          <t>Autoclaved cellular concrete blocks</t>
        </is>
      </c>
      <c r="C10" s="2" t="inlineStr">
        <is>
          <t>Relevant for AAC alternative.</t>
        </is>
      </c>
    </row>
    <row r="11">
      <c r="A11" s="2" t="inlineStr">
        <is>
          <t>CPWD DSR 2023</t>
        </is>
      </c>
      <c r="B11" s="2" t="inlineStr">
        <is>
          <t>Delhi Schedule of Rates, Vol I &amp; II</t>
        </is>
      </c>
      <c r="C11" s="2" t="inlineStr">
        <is>
          <t>Reference rate nomenclature/rate-analysis structure; use with latest correction slips.</t>
        </is>
      </c>
    </row>
    <row r="12">
      <c r="A12" s="2" t="inlineStr">
        <is>
          <t>CPWD Analysis of Rates 2023</t>
        </is>
      </c>
      <c r="B12" s="2" t="inlineStr">
        <is>
          <t>Analysis of Rates for Delhi, Vol I &amp; II</t>
        </is>
      </c>
      <c r="C12" s="2" t="inlineStr">
        <is>
          <t>Reference for material/labour/equipment build-ups.</t>
        </is>
      </c>
    </row>
    <row r="13">
      <c r="A13" s="2" t="inlineStr">
        <is>
          <t>CPWD PAR 2025</t>
        </is>
      </c>
      <c r="B13" s="2" t="inlineStr">
        <is>
          <t>Plinth Area Rates 2025</t>
        </is>
      </c>
      <c r="C13" s="2" t="inlineStr">
        <is>
          <t>Benchmark preliminary cost / comparison.</t>
        </is>
      </c>
    </row>
    <row r="14">
      <c r="A14" s="2" t="inlineStr">
        <is>
          <t>CPWD Building Cost Index 2026</t>
        </is>
      </c>
      <c r="B14" s="2" t="inlineStr">
        <is>
          <t>Delhi BCI dated 01-04-2026 relative to PAR 2025 base</t>
        </is>
      </c>
      <c r="C14" s="2" t="inlineStr">
        <is>
          <t>Escalation context only; not a Kanpur location factor.</t>
        </is>
      </c>
    </row>
    <row r="15">
      <c r="A15" s="2" t="inlineStr">
        <is>
          <t>CPWD Electrical Specifications 2023</t>
        </is>
      </c>
      <c r="B15" s="2" t="inlineStr">
        <is>
          <t>General Specifications for Electrical Works, Part I/II</t>
        </is>
      </c>
      <c r="C15" s="2" t="inlineStr">
        <is>
          <t>Electrical specification reference.</t>
        </is>
      </c>
    </row>
    <row r="16">
      <c r="A16" s="2" t="inlineStr">
        <is>
          <t>CBIC GST</t>
        </is>
      </c>
      <c r="B16" s="2" t="inlineStr">
        <is>
          <t>GST rates for construction services</t>
        </is>
      </c>
      <c r="C16" s="2" t="inlineStr">
        <is>
          <t>Tax treatment must be mapped to actual contract/project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2026-10-05T14:16:22Z</dcterms:created>
  <dcterms:modified xmlns:dcterms="http://purl.org/dc/terms/" xmlns:xsi="http://www.w3.org/2001/XMLSchema-instance" xsi:type="dcterms:W3CDTF">2026-10-05T14:16:22Z</dcterms:modified>
</cp:coreProperties>
</file>